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Spot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Divid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/>
    <font>
      <i val="1"/>
      <color rgb="0055555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SPDT Bloomberg pull — one session, one snapshot</t>
        </is>
      </c>
    </row>
    <row r="2">
      <c r="B2" s="2" t="inlineStr"/>
    </row>
    <row r="3">
      <c r="B3" s="3" t="inlineStr">
        <is>
          <t>This file fills ITSELF. Your only job here is: open it on the Bloomberg PC, wait for the blue cells to turn into numbers, then Save As and send it back.</t>
        </is>
      </c>
    </row>
    <row r="4">
      <c r="B4" s="2" t="inlineStr"/>
    </row>
    <row r="5">
      <c r="B5" s="2" t="inlineStr">
        <is>
          <t>1. Open on the Bloomberg PC with the Excel add-in installed. The 'Scalars', 'Spot', 'History' and 'Dividends' tabs fill automatically once the add-in connects (~30s) — just wait for every #N/A to resolve to a number.</t>
        </is>
      </c>
    </row>
    <row r="6">
      <c r="B6" s="2" t="inlineStr">
        <is>
          <t>2. File -&gt; Save As -&gt; keep .xlsx -&gt; name it template_filled_&lt;today&gt; -&gt; send it back.</t>
        </is>
      </c>
    </row>
    <row r="7">
      <c r="B7" s="2" t="inlineStr"/>
    </row>
    <row r="8">
      <c r="B8" s="2" t="inlineStr">
        <is>
          <t>The vol surface, OIS curve and credit data are NOT in this file. You export those from their Bloomberg screens as SEPARATE Excel files — see FRIEND_GUIDE for the exact steps. (This keeps things simple: no pasting into this workbook.)</t>
        </is>
      </c>
    </row>
    <row r="9">
      <c r="B9" s="2" t="inlineStr"/>
    </row>
    <row r="10">
      <c r="B10" s="3" t="inlineStr">
        <is>
          <t>Data-budget note: the add-in caps monthly downloads. Don't add extra tickers or long histories — this list is sized to fit. If a cell shows a limit error, tell Harsh.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underlying</t>
        </is>
      </c>
      <c r="B2" t="inlineStr">
        <is>
          <t>NIFTY</t>
        </is>
      </c>
    </row>
    <row r="3">
      <c r="A3" t="inlineStr">
        <is>
          <t>spot</t>
        </is>
      </c>
      <c r="B3">
        <f>BDP("NIFTY Index","PX_LAST")</f>
        <v/>
      </c>
    </row>
    <row r="4">
      <c r="A4" t="inlineStr">
        <is>
          <t>dividend_yield</t>
        </is>
      </c>
      <c r="B4">
        <f>BDP("NIFTY Index","EQY_DVD_YLD_IND")</f>
        <v/>
      </c>
    </row>
    <row r="5">
      <c r="A5" t="inlineStr">
        <is>
          <t>funding_spread</t>
        </is>
      </c>
    </row>
    <row r="6">
      <c r="A6" s="5" t="inlineStr">
        <is>
          <t>note</t>
        </is>
      </c>
      <c r="B6" s="5" t="inlineStr">
        <is>
          <t>spot &amp; dividend_yield auto-fill via BDP. Leave funding_spread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ticker</t>
        </is>
      </c>
      <c r="B1" s="4" t="inlineStr">
        <is>
          <t>px_last</t>
        </is>
      </c>
      <c r="C1" s="4" t="inlineStr">
        <is>
          <t>dvd_yld_ind</t>
        </is>
      </c>
      <c r="D1" s="4" t="inlineStr">
        <is>
          <t>px_volume</t>
        </is>
      </c>
    </row>
    <row r="2">
      <c r="A2" t="inlineStr">
        <is>
          <t>NIFTY Index</t>
        </is>
      </c>
      <c r="B2">
        <f>BDP(A2,"PX_LAST")</f>
        <v/>
      </c>
      <c r="C2">
        <f>BDP(A2,"EQY_DVD_YLD_IND")</f>
        <v/>
      </c>
      <c r="D2">
        <f>BDP(A2,"PX_VOLUME")</f>
        <v/>
      </c>
    </row>
    <row r="3">
      <c r="A3" t="inlineStr">
        <is>
          <t>RELIANCE IN Equity</t>
        </is>
      </c>
      <c r="B3">
        <f>BDP(A3,"PX_LAST")</f>
        <v/>
      </c>
      <c r="C3">
        <f>BDP(A3,"EQY_DVD_YLD_IND")</f>
        <v/>
      </c>
      <c r="D3">
        <f>BDP(A3,"PX_VOLUME")</f>
        <v/>
      </c>
    </row>
    <row r="4">
      <c r="A4" t="inlineStr">
        <is>
          <t>HDFCBANK IN Equity</t>
        </is>
      </c>
      <c r="B4">
        <f>BDP(A4,"PX_LAST")</f>
        <v/>
      </c>
      <c r="C4">
        <f>BDP(A4,"EQY_DVD_YLD_IND")</f>
        <v/>
      </c>
      <c r="D4">
        <f>BDP(A4,"PX_VOLUME")</f>
        <v/>
      </c>
    </row>
    <row r="5">
      <c r="A5" t="inlineStr">
        <is>
          <t>ICICIBANK IN Equity</t>
        </is>
      </c>
      <c r="B5">
        <f>BDP(A5,"PX_LAST")</f>
        <v/>
      </c>
      <c r="C5">
        <f>BDP(A5,"EQY_DVD_YLD_IND")</f>
        <v/>
      </c>
      <c r="D5">
        <f>BDP(A5,"PX_VOLUME")</f>
        <v/>
      </c>
    </row>
    <row r="6">
      <c r="A6" t="inlineStr">
        <is>
          <t>INFY IN Equity</t>
        </is>
      </c>
      <c r="B6">
        <f>BDP(A6,"PX_LAST")</f>
        <v/>
      </c>
      <c r="C6">
        <f>BDP(A6,"EQY_DVD_YLD_IND")</f>
        <v/>
      </c>
      <c r="D6">
        <f>BDP(A6,"PX_VOLUME")</f>
        <v/>
      </c>
    </row>
    <row r="7">
      <c r="A7" t="inlineStr">
        <is>
          <t>TCS IN Equity</t>
        </is>
      </c>
      <c r="B7">
        <f>BDP(A7,"PX_LAST")</f>
        <v/>
      </c>
      <c r="C7">
        <f>BDP(A7,"EQY_DVD_YLD_IND")</f>
        <v/>
      </c>
      <c r="D7">
        <f>BDP(A7,"PX_VOLUME")</f>
        <v/>
      </c>
    </row>
    <row r="8">
      <c r="A8" t="inlineStr">
        <is>
          <t>ITC IN Equity</t>
        </is>
      </c>
      <c r="B8">
        <f>BDP(A8,"PX_LAST")</f>
        <v/>
      </c>
      <c r="C8">
        <f>BDP(A8,"EQY_DVD_YLD_IND")</f>
        <v/>
      </c>
      <c r="D8">
        <f>BDP(A8,"PX_VOLUME")</f>
        <v/>
      </c>
    </row>
    <row r="9">
      <c r="A9" t="inlineStr">
        <is>
          <t>LT IN Equity</t>
        </is>
      </c>
      <c r="B9">
        <f>BDP(A9,"PX_LAST")</f>
        <v/>
      </c>
      <c r="C9">
        <f>BDP(A9,"EQY_DVD_YLD_IND")</f>
        <v/>
      </c>
      <c r="D9">
        <f>BDP(A9,"PX_VOLUME")</f>
        <v/>
      </c>
    </row>
    <row r="10">
      <c r="A10" t="inlineStr">
        <is>
          <t>SBIN IN Equity</t>
        </is>
      </c>
      <c r="B10">
        <f>BDP(A10,"PX_LAST")</f>
        <v/>
      </c>
      <c r="C10">
        <f>BDP(A10,"EQY_DVD_YLD_IND")</f>
        <v/>
      </c>
      <c r="D10">
        <f>BDP(A10,"PX_VOLUME")</f>
        <v/>
      </c>
    </row>
    <row r="11">
      <c r="A11" t="inlineStr">
        <is>
          <t>AXISBANK IN Equity</t>
        </is>
      </c>
      <c r="B11">
        <f>BDP(A11,"PX_LAST")</f>
        <v/>
      </c>
      <c r="C11">
        <f>BDP(A11,"EQY_DVD_YLD_IND")</f>
        <v/>
      </c>
      <c r="D11">
        <f>BDP(A11,"PX_VOLUME")</f>
        <v/>
      </c>
    </row>
    <row r="12">
      <c r="A12" t="inlineStr">
        <is>
          <t>BHARTIARTL IN Equity</t>
        </is>
      </c>
      <c r="B12">
        <f>BDP(A12,"PX_LAST")</f>
        <v/>
      </c>
      <c r="C12">
        <f>BDP(A12,"EQY_DVD_YLD_IND")</f>
        <v/>
      </c>
      <c r="D12">
        <f>BDP(A12,"PX_VOLUME")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daily close history (for correlation) — one BDH block per ticker</t>
        </is>
      </c>
    </row>
    <row r="2">
      <c r="A2" s="5" t="inlineStr">
        <is>
          <t>Each BDH spills a Date|PX_LAST table below its anchor cell. Keep the name count modest to stay under the data budget.</t>
        </is>
      </c>
    </row>
    <row r="4">
      <c r="A4" s="6" t="inlineStr">
        <is>
          <t>NIFTY Index</t>
        </is>
      </c>
    </row>
    <row r="5">
      <c r="A5">
        <f>BDH("NIFTY Index","PX_LAST","-5CY","TODAY")</f>
        <v/>
      </c>
    </row>
    <row r="12">
      <c r="A12" s="6" t="inlineStr">
        <is>
          <t>RELIANCE IN Equity</t>
        </is>
      </c>
    </row>
    <row r="13">
      <c r="A13">
        <f>BDH("RELIANCE IN Equity","PX_LAST","-5CY","TODAY")</f>
        <v/>
      </c>
    </row>
    <row r="20">
      <c r="A20" s="6" t="inlineStr">
        <is>
          <t>HDFCBANK IN Equity</t>
        </is>
      </c>
    </row>
    <row r="21">
      <c r="A21">
        <f>BDH("HDFCBANK IN Equity","PX_LAST","-5CY","TODAY")</f>
        <v/>
      </c>
    </row>
    <row r="28">
      <c r="A28" s="6" t="inlineStr">
        <is>
          <t>ICICIBANK IN Equity</t>
        </is>
      </c>
    </row>
    <row r="29">
      <c r="A29">
        <f>BDH("ICICIBANK IN Equity","PX_LAST","-5CY","TODAY")</f>
        <v/>
      </c>
    </row>
    <row r="36">
      <c r="A36" s="6" t="inlineStr">
        <is>
          <t>INFY IN Equity</t>
        </is>
      </c>
    </row>
    <row r="37">
      <c r="A37">
        <f>BDH("INFY IN Equity","PX_LAST","-5CY","TODAY")</f>
        <v/>
      </c>
    </row>
    <row r="44">
      <c r="A44" s="6" t="inlineStr">
        <is>
          <t>TCS IN Equity</t>
        </is>
      </c>
    </row>
    <row r="45">
      <c r="A45">
        <f>BDH("TCS IN Equity","PX_LAST","-5CY","TODAY")</f>
        <v/>
      </c>
    </row>
    <row r="52">
      <c r="A52" s="6" t="inlineStr">
        <is>
          <t>ITC IN Equity</t>
        </is>
      </c>
    </row>
    <row r="53">
      <c r="A53">
        <f>BDH("ITC IN Equity","PX_LAST","-5CY","TODAY")</f>
        <v/>
      </c>
    </row>
    <row r="60">
      <c r="A60" s="6" t="inlineStr">
        <is>
          <t>LT IN Equity</t>
        </is>
      </c>
    </row>
    <row r="61">
      <c r="A61">
        <f>BDH("LT IN Equity","PX_LAST","-5CY","TODAY")</f>
        <v/>
      </c>
    </row>
    <row r="68">
      <c r="A68" s="6" t="inlineStr">
        <is>
          <t>SBIN IN Equity</t>
        </is>
      </c>
    </row>
    <row r="69">
      <c r="A69">
        <f>BDH("SBIN IN Equity","PX_LAST","-5CY","TODAY")</f>
        <v/>
      </c>
    </row>
    <row r="76">
      <c r="A76" s="6" t="inlineStr">
        <is>
          <t>AXISBANK IN Equity</t>
        </is>
      </c>
    </row>
    <row r="77">
      <c r="A77">
        <f>BDH("AXISBANK IN Equity","PX_LAST","-5CY","TODAY")</f>
        <v/>
      </c>
    </row>
    <row r="84">
      <c r="A84" s="6" t="inlineStr">
        <is>
          <t>BHARTIARTL IN Equity</t>
        </is>
      </c>
    </row>
    <row r="85">
      <c r="A85">
        <f>BDH("BHARTIARTL IN Equity","PX_LAST","-5CY","TODAY")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4" t="inlineStr">
        <is>
          <t>projected discrete dividends (ex-date + amount) per name</t>
        </is>
      </c>
    </row>
    <row r="2">
      <c r="A2" s="5" t="inlineStr">
        <is>
          <t>Autocallables are dividend-sensitive — this is the discrete schedule, not just the yield.</t>
        </is>
      </c>
    </row>
    <row r="4">
      <c r="A4" s="6" t="inlineStr">
        <is>
          <t>RELIANCE IN Equity</t>
        </is>
      </c>
    </row>
    <row r="5">
      <c r="A5">
        <f>BDS("RELIANCE IN Equity","BDVD_PR_EX_DTS_DVD_AMTS")</f>
        <v/>
      </c>
    </row>
    <row r="10">
      <c r="A10" s="6" t="inlineStr">
        <is>
          <t>HDFCBANK IN Equity</t>
        </is>
      </c>
    </row>
    <row r="11">
      <c r="A11">
        <f>BDS("HDFCBANK IN Equity","BDVD_PR_EX_DTS_DVD_AMTS")</f>
        <v/>
      </c>
    </row>
    <row r="16">
      <c r="A16" s="6" t="inlineStr">
        <is>
          <t>ICICIBANK IN Equity</t>
        </is>
      </c>
    </row>
    <row r="17">
      <c r="A17">
        <f>BDS("ICICIBANK IN Equity","BDVD_PR_EX_DTS_DVD_AMTS")</f>
        <v/>
      </c>
    </row>
    <row r="22">
      <c r="A22" s="6" t="inlineStr">
        <is>
          <t>INFY IN Equity</t>
        </is>
      </c>
    </row>
    <row r="23">
      <c r="A23">
        <f>BDS("INFY IN Equity","BDVD_PR_EX_DTS_DVD_AMTS")</f>
        <v/>
      </c>
    </row>
    <row r="28">
      <c r="A28" s="6" t="inlineStr">
        <is>
          <t>TCS IN Equity</t>
        </is>
      </c>
    </row>
    <row r="29">
      <c r="A29">
        <f>BDS("TCS IN Equity","BDVD_PR_EX_DTS_DVD_AMTS")</f>
        <v/>
      </c>
    </row>
    <row r="34">
      <c r="A34" s="6" t="inlineStr">
        <is>
          <t>ITC IN Equity</t>
        </is>
      </c>
    </row>
    <row r="35">
      <c r="A35">
        <f>BDS("ITC IN Equity","BDVD_PR_EX_DTS_DVD_AMTS")</f>
        <v/>
      </c>
    </row>
    <row r="40">
      <c r="A40" s="6" t="inlineStr">
        <is>
          <t>LT IN Equity</t>
        </is>
      </c>
    </row>
    <row r="41">
      <c r="A41">
        <f>BDS("LT IN Equity","BDVD_PR_EX_DTS_DVD_AMTS")</f>
        <v/>
      </c>
    </row>
    <row r="46">
      <c r="A46" s="6" t="inlineStr">
        <is>
          <t>SBIN IN Equity</t>
        </is>
      </c>
    </row>
    <row r="47">
      <c r="A47">
        <f>BDS("SBIN IN Equity","BDVD_PR_EX_DTS_DVD_AMTS")</f>
        <v/>
      </c>
    </row>
    <row r="52">
      <c r="A52" s="6" t="inlineStr">
        <is>
          <t>AXISBANK IN Equity</t>
        </is>
      </c>
    </row>
    <row r="53">
      <c r="A53">
        <f>BDS("AXISBANK IN Equity","BDVD_PR_EX_DTS_DVD_AMTS")</f>
        <v/>
      </c>
    </row>
    <row r="58">
      <c r="A58" s="6" t="inlineStr">
        <is>
          <t>BHARTIARTL IN Equity</t>
        </is>
      </c>
    </row>
    <row r="59">
      <c r="A59">
        <f>BDS("BHARTIARTL IN Equity","BDVD_PR_EX_DTS_DVD_AMTS")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2026-07-01T13:01:27Z</dcterms:created>
  <dcterms:modified xmlns:dcterms="http://purl.org/dc/terms/" xmlns:xsi="http://www.w3.org/2001/XMLSchema-instance" xsi:type="dcterms:W3CDTF">2026-07-01T13:01:27Z</dcterms:modified>
</cp:coreProperties>
</file>